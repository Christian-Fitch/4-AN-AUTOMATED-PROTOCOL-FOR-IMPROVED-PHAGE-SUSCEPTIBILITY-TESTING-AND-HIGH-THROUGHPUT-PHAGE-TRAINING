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f466_exeter_ac_uk/Documents/Documents/Documents - CF laptop/PhD/Writing/Thesis Writing/Better Host Range/rawdata/figure 6/"/>
    </mc:Choice>
  </mc:AlternateContent>
  <xr:revisionPtr revIDLastSave="3" documentId="8_{853EBF2E-E315-4AA5-856A-DE1ECDED61D1}" xr6:coauthVersionLast="47" xr6:coauthVersionMax="47" xr10:uidLastSave="{B7F489CB-BC9D-4C51-BCEB-96392F0F45CD}"/>
  <bookViews>
    <workbookView xWindow="-120" yWindow="-120" windowWidth="29040" windowHeight="15720" xr2:uid="{746A983B-61CD-42C7-A2CE-9FD1C9271376}"/>
  </bookViews>
  <sheets>
    <sheet name="timings for gannt char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9" i="1" l="1"/>
  <c r="C58" i="1"/>
  <c r="D58" i="1" s="1"/>
  <c r="C57" i="1"/>
  <c r="D57" i="1" s="1"/>
  <c r="C56" i="1"/>
  <c r="D56" i="1" s="1"/>
  <c r="C55" i="1"/>
  <c r="D55" i="1" s="1"/>
  <c r="C54" i="1"/>
  <c r="C53" i="1"/>
  <c r="D53" i="1" s="1"/>
  <c r="C51" i="1"/>
  <c r="D51" i="1" s="1"/>
  <c r="D48" i="1"/>
  <c r="D49" i="1"/>
  <c r="D50" i="1"/>
  <c r="D52" i="1"/>
  <c r="D54" i="1"/>
  <c r="D59" i="1"/>
  <c r="D47" i="1"/>
  <c r="D46" i="1"/>
  <c r="D45" i="1"/>
  <c r="D43" i="1"/>
  <c r="D42" i="1"/>
  <c r="D40" i="1"/>
  <c r="D41" i="1"/>
  <c r="D39" i="1"/>
  <c r="D38" i="1"/>
  <c r="D37" i="1"/>
  <c r="D36" i="1"/>
  <c r="D35" i="1"/>
  <c r="D34" i="1"/>
  <c r="D33" i="1"/>
  <c r="D32" i="1"/>
  <c r="D31" i="1"/>
  <c r="D28" i="1"/>
  <c r="C29" i="1" s="1"/>
  <c r="D29" i="1" s="1"/>
  <c r="C30" i="1" s="1"/>
  <c r="D30" i="1" s="1"/>
  <c r="D27" i="1"/>
  <c r="D26" i="1"/>
  <c r="D25" i="1"/>
  <c r="D24" i="1"/>
  <c r="D23" i="1"/>
  <c r="D22" i="1"/>
  <c r="D21" i="1"/>
  <c r="D19" i="1"/>
  <c r="D20" i="1"/>
  <c r="D18" i="1"/>
  <c r="D17" i="1"/>
  <c r="D16" i="1"/>
  <c r="D15" i="1"/>
  <c r="D14" i="1"/>
  <c r="D13" i="1"/>
  <c r="D12" i="1"/>
  <c r="D4" i="1"/>
  <c r="D5" i="1"/>
  <c r="D6" i="1"/>
  <c r="D7" i="1"/>
  <c r="D8" i="1"/>
  <c r="D9" i="1"/>
  <c r="C10" i="1" s="1"/>
  <c r="D10" i="1" s="1"/>
  <c r="C11" i="1" s="1"/>
  <c r="D11" i="1" s="1"/>
  <c r="D2" i="1"/>
  <c r="D3" i="1" l="1"/>
</calcChain>
</file>

<file path=xl/sharedStrings.xml><?xml version="1.0" encoding="utf-8"?>
<sst xmlns="http://schemas.openxmlformats.org/spreadsheetml/2006/main" count="128" uniqueCount="42">
  <si>
    <t>method</t>
  </si>
  <si>
    <t>activity</t>
  </si>
  <si>
    <t>start_date</t>
  </si>
  <si>
    <t>end_date</t>
  </si>
  <si>
    <t>Receive Isolates</t>
  </si>
  <si>
    <t>Biobank Isolates</t>
  </si>
  <si>
    <t>Grow Isolates</t>
  </si>
  <si>
    <t>Create Bacterial Lawn</t>
  </si>
  <si>
    <t>hours taken</t>
  </si>
  <si>
    <t>Perform Spot Assay</t>
  </si>
  <si>
    <t>Incubate Overnight</t>
  </si>
  <si>
    <t>Obtain Single Isolates</t>
  </si>
  <si>
    <t>Interpret &amp; Report</t>
  </si>
  <si>
    <t>Ready Phage Stocks</t>
  </si>
  <si>
    <t>Validate Phage Stocks</t>
  </si>
  <si>
    <t>Prepare Microtitre Plate</t>
  </si>
  <si>
    <t>Data Analysis</t>
  </si>
  <si>
    <t>EOP Assay (12 phages:1 host)</t>
  </si>
  <si>
    <t>spot_type</t>
  </si>
  <si>
    <t>spot_date</t>
  </si>
  <si>
    <t>in each of the main packages, add a dot where use of stationary phase bacteria may finish</t>
  </si>
  <si>
    <t>PKA; Defined MOI (54 phages:host)</t>
  </si>
  <si>
    <t>PKA; Undefined MOI (54 phages:host)</t>
  </si>
  <si>
    <t>DST Assay (96 phages:1 host)</t>
  </si>
  <si>
    <t>Enumerate Bacteria</t>
  </si>
  <si>
    <t>Grow Isolates for Enumeration</t>
  </si>
  <si>
    <t>Adjust Phage Stocks to MOI</t>
  </si>
  <si>
    <t>Grow Isolates for PKA</t>
  </si>
  <si>
    <t>Titre Phage Stocks</t>
  </si>
  <si>
    <t>Better Host Range (1 phage:28 hosts)</t>
  </si>
  <si>
    <t>Grow Bacteria Overnight</t>
  </si>
  <si>
    <t>Set-up 1: Reagents</t>
  </si>
  <si>
    <t>Incubation</t>
  </si>
  <si>
    <t>Reaction Set Up (LH)</t>
  </si>
  <si>
    <t>Set up 2: Filter Plate</t>
  </si>
  <si>
    <t>Grow Isolation Host</t>
  </si>
  <si>
    <t>Serial Dilution (LH) + Filtration</t>
  </si>
  <si>
    <t>Spot Assay</t>
  </si>
  <si>
    <t>Plate Imaging</t>
  </si>
  <si>
    <t>Obtain Isolation Host Isolates</t>
  </si>
  <si>
    <t>end_hour</t>
  </si>
  <si>
    <t>start_hour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</si>
</sst>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F594-3CDC-4A45-B412-02D7F521156A}">
  <dimension ref="A1:H59"/>
  <sheetViews>
    <sheetView tabSelected="1" workbookViewId="0">
      <selection activeCell="I44" sqref="I44"/>
    </sheetView>
  </sheetViews>
  <sheetFormatPr defaultRowHeight="15" x14ac:dyDescent="0.25"/>
  <cols>
    <col min="1" max="1" width="48.85546875" customWidth="1"/>
    <col min="2" max="2" width="36.7109375" customWidth="1"/>
    <col min="3" max="3" width="33.140625" customWidth="1"/>
    <col min="4" max="4" width="31.140625" customWidth="1"/>
    <col min="5" max="5" width="11.28515625" customWidth="1"/>
    <col min="6" max="6" width="15.5703125" bestFit="1" customWidth="1"/>
  </cols>
  <sheetData>
    <row r="1" spans="1:8" x14ac:dyDescent="0.25">
      <c r="A1" t="s">
        <v>0</v>
      </c>
      <c r="B1" t="s">
        <v>1</v>
      </c>
      <c r="C1" t="s">
        <v>41</v>
      </c>
      <c r="D1" t="s">
        <v>40</v>
      </c>
      <c r="E1" t="s">
        <v>8</v>
      </c>
      <c r="F1" t="s">
        <v>2</v>
      </c>
      <c r="G1" t="s">
        <v>2</v>
      </c>
      <c r="H1" t="s">
        <v>3</v>
      </c>
    </row>
    <row r="2" spans="1:8" x14ac:dyDescent="0.25">
      <c r="A2" t="s">
        <v>23</v>
      </c>
      <c r="B2" t="s">
        <v>4</v>
      </c>
      <c r="C2">
        <v>1</v>
      </c>
      <c r="D2">
        <f>SUM(C2+E2)</f>
        <v>2</v>
      </c>
      <c r="E2">
        <v>1</v>
      </c>
      <c r="F2" s="1">
        <v>46023</v>
      </c>
    </row>
    <row r="3" spans="1:8" x14ac:dyDescent="0.25">
      <c r="A3" t="s">
        <v>23</v>
      </c>
      <c r="B3" t="s">
        <v>11</v>
      </c>
      <c r="C3">
        <v>2</v>
      </c>
      <c r="D3">
        <f t="shared" ref="D3:D42" si="0">SUM(C3+E3)</f>
        <v>18</v>
      </c>
      <c r="E3">
        <v>16</v>
      </c>
      <c r="F3" s="1">
        <v>46023</v>
      </c>
    </row>
    <row r="4" spans="1:8" x14ac:dyDescent="0.25">
      <c r="A4" t="s">
        <v>23</v>
      </c>
      <c r="B4" t="s">
        <v>14</v>
      </c>
      <c r="C4">
        <v>1</v>
      </c>
      <c r="D4">
        <f t="shared" si="0"/>
        <v>18</v>
      </c>
      <c r="E4">
        <v>17</v>
      </c>
      <c r="F4" s="1">
        <v>46023</v>
      </c>
    </row>
    <row r="5" spans="1:8" x14ac:dyDescent="0.25">
      <c r="A5" t="s">
        <v>23</v>
      </c>
      <c r="B5" t="s">
        <v>5</v>
      </c>
      <c r="C5">
        <v>18</v>
      </c>
      <c r="D5">
        <f t="shared" si="0"/>
        <v>19</v>
      </c>
      <c r="E5">
        <v>1</v>
      </c>
      <c r="F5" s="1">
        <v>46023</v>
      </c>
    </row>
    <row r="6" spans="1:8" x14ac:dyDescent="0.25">
      <c r="A6" t="s">
        <v>23</v>
      </c>
      <c r="B6" t="s">
        <v>6</v>
      </c>
      <c r="C6">
        <v>18</v>
      </c>
      <c r="D6">
        <f t="shared" si="0"/>
        <v>23</v>
      </c>
      <c r="E6">
        <v>5</v>
      </c>
      <c r="F6" s="1">
        <v>46023</v>
      </c>
    </row>
    <row r="7" spans="1:8" x14ac:dyDescent="0.25">
      <c r="A7" t="s">
        <v>23</v>
      </c>
      <c r="B7" t="s">
        <v>7</v>
      </c>
      <c r="C7">
        <v>22.5</v>
      </c>
      <c r="D7">
        <f t="shared" si="0"/>
        <v>23</v>
      </c>
      <c r="E7">
        <v>0.5</v>
      </c>
      <c r="F7" s="1">
        <v>46023</v>
      </c>
    </row>
    <row r="8" spans="1:8" x14ac:dyDescent="0.25">
      <c r="A8" t="s">
        <v>23</v>
      </c>
      <c r="B8" t="s">
        <v>13</v>
      </c>
      <c r="C8">
        <v>22</v>
      </c>
      <c r="D8">
        <f t="shared" si="0"/>
        <v>22.5</v>
      </c>
      <c r="E8">
        <v>0.5</v>
      </c>
      <c r="F8" s="1">
        <v>46023</v>
      </c>
    </row>
    <row r="9" spans="1:8" x14ac:dyDescent="0.25">
      <c r="A9" t="s">
        <v>23</v>
      </c>
      <c r="B9" t="s">
        <v>9</v>
      </c>
      <c r="C9">
        <v>23</v>
      </c>
      <c r="D9">
        <f t="shared" si="0"/>
        <v>23.332999999999998</v>
      </c>
      <c r="E9">
        <v>0.33300000000000002</v>
      </c>
      <c r="F9" s="1">
        <v>46023</v>
      </c>
    </row>
    <row r="10" spans="1:8" x14ac:dyDescent="0.25">
      <c r="A10" t="s">
        <v>23</v>
      </c>
      <c r="B10" t="s">
        <v>10</v>
      </c>
      <c r="C10">
        <f>(D9)</f>
        <v>23.332999999999998</v>
      </c>
      <c r="D10">
        <f t="shared" si="0"/>
        <v>39.332999999999998</v>
      </c>
      <c r="E10">
        <v>16</v>
      </c>
      <c r="F10" s="1">
        <v>46023</v>
      </c>
    </row>
    <row r="11" spans="1:8" x14ac:dyDescent="0.25">
      <c r="A11" t="s">
        <v>23</v>
      </c>
      <c r="B11" t="s">
        <v>12</v>
      </c>
      <c r="C11">
        <f>D10</f>
        <v>39.332999999999998</v>
      </c>
      <c r="D11">
        <f t="shared" si="0"/>
        <v>39.665999999999997</v>
      </c>
      <c r="E11">
        <v>0.33300000000000002</v>
      </c>
      <c r="F11" s="1">
        <v>46023</v>
      </c>
    </row>
    <row r="12" spans="1:8" x14ac:dyDescent="0.25">
      <c r="A12" t="s">
        <v>22</v>
      </c>
      <c r="B12" t="s">
        <v>4</v>
      </c>
      <c r="C12">
        <v>1</v>
      </c>
      <c r="D12">
        <f>SUM(C12+E12)</f>
        <v>2</v>
      </c>
      <c r="E12">
        <v>1</v>
      </c>
      <c r="F12" s="1">
        <v>46023</v>
      </c>
    </row>
    <row r="13" spans="1:8" x14ac:dyDescent="0.25">
      <c r="A13" t="s">
        <v>22</v>
      </c>
      <c r="B13" t="s">
        <v>11</v>
      </c>
      <c r="C13">
        <v>2</v>
      </c>
      <c r="D13">
        <f t="shared" si="0"/>
        <v>18</v>
      </c>
      <c r="E13">
        <v>16</v>
      </c>
      <c r="F13" s="1">
        <v>46023</v>
      </c>
    </row>
    <row r="14" spans="1:8" x14ac:dyDescent="0.25">
      <c r="A14" t="s">
        <v>22</v>
      </c>
      <c r="B14" t="s">
        <v>14</v>
      </c>
      <c r="C14">
        <v>1</v>
      </c>
      <c r="D14">
        <f t="shared" si="0"/>
        <v>18</v>
      </c>
      <c r="E14">
        <v>17</v>
      </c>
      <c r="F14" s="1">
        <v>46023</v>
      </c>
    </row>
    <row r="15" spans="1:8" x14ac:dyDescent="0.25">
      <c r="A15" t="s">
        <v>22</v>
      </c>
      <c r="B15" t="s">
        <v>5</v>
      </c>
      <c r="C15">
        <v>18</v>
      </c>
      <c r="D15">
        <f t="shared" si="0"/>
        <v>19</v>
      </c>
      <c r="E15">
        <v>1</v>
      </c>
      <c r="F15" s="1">
        <v>46023</v>
      </c>
    </row>
    <row r="16" spans="1:8" x14ac:dyDescent="0.25">
      <c r="A16" t="s">
        <v>22</v>
      </c>
      <c r="B16" t="s">
        <v>6</v>
      </c>
      <c r="C16">
        <v>18</v>
      </c>
      <c r="D16">
        <f t="shared" si="0"/>
        <v>23</v>
      </c>
      <c r="E16">
        <v>5</v>
      </c>
      <c r="F16" s="1">
        <v>46023</v>
      </c>
    </row>
    <row r="17" spans="1:6" x14ac:dyDescent="0.25">
      <c r="A17" t="s">
        <v>22</v>
      </c>
      <c r="B17" t="s">
        <v>15</v>
      </c>
      <c r="C17">
        <v>22</v>
      </c>
      <c r="D17">
        <f t="shared" si="0"/>
        <v>23</v>
      </c>
      <c r="E17">
        <v>1</v>
      </c>
      <c r="F17" s="1">
        <v>46023</v>
      </c>
    </row>
    <row r="18" spans="1:6" x14ac:dyDescent="0.25">
      <c r="A18" t="s">
        <v>22</v>
      </c>
      <c r="B18" t="s">
        <v>10</v>
      </c>
      <c r="C18">
        <v>23</v>
      </c>
      <c r="D18">
        <f t="shared" si="0"/>
        <v>47</v>
      </c>
      <c r="E18">
        <v>24</v>
      </c>
      <c r="F18" s="1">
        <v>46023</v>
      </c>
    </row>
    <row r="19" spans="1:6" x14ac:dyDescent="0.25">
      <c r="A19" t="s">
        <v>22</v>
      </c>
      <c r="B19" t="s">
        <v>16</v>
      </c>
      <c r="C19">
        <v>47</v>
      </c>
      <c r="D19">
        <f t="shared" si="0"/>
        <v>48</v>
      </c>
      <c r="E19">
        <v>1</v>
      </c>
      <c r="F19" s="1">
        <v>46023</v>
      </c>
    </row>
    <row r="20" spans="1:6" x14ac:dyDescent="0.25">
      <c r="A20" t="s">
        <v>22</v>
      </c>
      <c r="B20" t="s">
        <v>12</v>
      </c>
      <c r="C20">
        <v>48</v>
      </c>
      <c r="D20">
        <f t="shared" si="0"/>
        <v>48.332999999999998</v>
      </c>
      <c r="E20">
        <v>0.33300000000000002</v>
      </c>
      <c r="F20" s="1">
        <v>46023</v>
      </c>
    </row>
    <row r="21" spans="1:6" x14ac:dyDescent="0.25">
      <c r="A21" t="s">
        <v>17</v>
      </c>
      <c r="B21" t="s">
        <v>4</v>
      </c>
      <c r="C21">
        <v>1</v>
      </c>
      <c r="D21">
        <f>SUM(C21+E21)</f>
        <v>2</v>
      </c>
      <c r="E21">
        <v>1</v>
      </c>
      <c r="F21" s="1">
        <v>46023</v>
      </c>
    </row>
    <row r="22" spans="1:6" x14ac:dyDescent="0.25">
      <c r="A22" t="s">
        <v>17</v>
      </c>
      <c r="B22" t="s">
        <v>11</v>
      </c>
      <c r="C22">
        <v>2</v>
      </c>
      <c r="D22">
        <f t="shared" si="0"/>
        <v>18</v>
      </c>
      <c r="E22">
        <v>16</v>
      </c>
      <c r="F22" s="1">
        <v>46023</v>
      </c>
    </row>
    <row r="23" spans="1:6" x14ac:dyDescent="0.25">
      <c r="A23" t="s">
        <v>17</v>
      </c>
      <c r="B23" t="s">
        <v>14</v>
      </c>
      <c r="C23">
        <v>1</v>
      </c>
      <c r="D23">
        <f t="shared" si="0"/>
        <v>18</v>
      </c>
      <c r="E23">
        <v>17</v>
      </c>
      <c r="F23" s="1">
        <v>46023</v>
      </c>
    </row>
    <row r="24" spans="1:6" x14ac:dyDescent="0.25">
      <c r="A24" t="s">
        <v>17</v>
      </c>
      <c r="B24" t="s">
        <v>5</v>
      </c>
      <c r="C24">
        <v>18</v>
      </c>
      <c r="D24">
        <f t="shared" si="0"/>
        <v>19</v>
      </c>
      <c r="E24">
        <v>1</v>
      </c>
      <c r="F24" s="1">
        <v>46023</v>
      </c>
    </row>
    <row r="25" spans="1:6" x14ac:dyDescent="0.25">
      <c r="A25" t="s">
        <v>17</v>
      </c>
      <c r="B25" t="s">
        <v>6</v>
      </c>
      <c r="C25">
        <v>18</v>
      </c>
      <c r="D25">
        <f t="shared" si="0"/>
        <v>23</v>
      </c>
      <c r="E25">
        <v>5</v>
      </c>
      <c r="F25" s="1">
        <v>46023</v>
      </c>
    </row>
    <row r="26" spans="1:6" x14ac:dyDescent="0.25">
      <c r="A26" t="s">
        <v>17</v>
      </c>
      <c r="B26" t="s">
        <v>7</v>
      </c>
      <c r="C26">
        <v>22.5</v>
      </c>
      <c r="D26">
        <f t="shared" si="0"/>
        <v>23</v>
      </c>
      <c r="E26">
        <v>0.5</v>
      </c>
      <c r="F26" s="1">
        <v>46023</v>
      </c>
    </row>
    <row r="27" spans="1:6" x14ac:dyDescent="0.25">
      <c r="A27" t="s">
        <v>17</v>
      </c>
      <c r="B27" t="s">
        <v>13</v>
      </c>
      <c r="C27">
        <v>22</v>
      </c>
      <c r="D27">
        <f t="shared" si="0"/>
        <v>22.5</v>
      </c>
      <c r="E27">
        <v>0.5</v>
      </c>
      <c r="F27" s="1">
        <v>46023</v>
      </c>
    </row>
    <row r="28" spans="1:6" x14ac:dyDescent="0.25">
      <c r="A28" t="s">
        <v>17</v>
      </c>
      <c r="B28" t="s">
        <v>9</v>
      </c>
      <c r="C28">
        <v>23</v>
      </c>
      <c r="D28">
        <f t="shared" si="0"/>
        <v>23.332999999999998</v>
      </c>
      <c r="E28">
        <v>0.33300000000000002</v>
      </c>
      <c r="F28" s="1">
        <v>46023</v>
      </c>
    </row>
    <row r="29" spans="1:6" x14ac:dyDescent="0.25">
      <c r="A29" t="s">
        <v>17</v>
      </c>
      <c r="B29" t="s">
        <v>10</v>
      </c>
      <c r="C29">
        <f>(D28)</f>
        <v>23.332999999999998</v>
      </c>
      <c r="D29">
        <f t="shared" si="0"/>
        <v>39.332999999999998</v>
      </c>
      <c r="E29">
        <v>16</v>
      </c>
      <c r="F29" s="1">
        <v>46023</v>
      </c>
    </row>
    <row r="30" spans="1:6" x14ac:dyDescent="0.25">
      <c r="A30" t="s">
        <v>17</v>
      </c>
      <c r="B30" t="s">
        <v>12</v>
      </c>
      <c r="C30">
        <f>D29</f>
        <v>39.332999999999998</v>
      </c>
      <c r="D30">
        <f t="shared" si="0"/>
        <v>39.665999999999997</v>
      </c>
      <c r="E30">
        <v>0.33300000000000002</v>
      </c>
      <c r="F30" s="1">
        <v>46023</v>
      </c>
    </row>
    <row r="31" spans="1:6" x14ac:dyDescent="0.25">
      <c r="A31" t="s">
        <v>21</v>
      </c>
      <c r="B31" t="s">
        <v>4</v>
      </c>
      <c r="C31">
        <v>1</v>
      </c>
      <c r="D31">
        <f>SUM(C31+E31)</f>
        <v>2</v>
      </c>
      <c r="E31">
        <v>1</v>
      </c>
      <c r="F31" s="1">
        <v>46023</v>
      </c>
    </row>
    <row r="32" spans="1:6" x14ac:dyDescent="0.25">
      <c r="A32" t="s">
        <v>21</v>
      </c>
      <c r="B32" t="s">
        <v>11</v>
      </c>
      <c r="C32">
        <v>2</v>
      </c>
      <c r="D32">
        <f t="shared" si="0"/>
        <v>18</v>
      </c>
      <c r="E32">
        <v>16</v>
      </c>
      <c r="F32" s="1">
        <v>46023</v>
      </c>
    </row>
    <row r="33" spans="1:6" x14ac:dyDescent="0.25">
      <c r="A33" t="s">
        <v>21</v>
      </c>
      <c r="B33" t="s">
        <v>28</v>
      </c>
      <c r="C33">
        <v>1</v>
      </c>
      <c r="D33">
        <f t="shared" si="0"/>
        <v>18</v>
      </c>
      <c r="E33">
        <v>17</v>
      </c>
      <c r="F33" s="1">
        <v>46023</v>
      </c>
    </row>
    <row r="34" spans="1:6" x14ac:dyDescent="0.25">
      <c r="A34" t="s">
        <v>21</v>
      </c>
      <c r="B34" t="s">
        <v>5</v>
      </c>
      <c r="C34">
        <v>18</v>
      </c>
      <c r="D34">
        <f t="shared" si="0"/>
        <v>19</v>
      </c>
      <c r="E34">
        <v>1</v>
      </c>
      <c r="F34" s="1">
        <v>46023</v>
      </c>
    </row>
    <row r="35" spans="1:6" x14ac:dyDescent="0.25">
      <c r="A35" t="s">
        <v>21</v>
      </c>
      <c r="B35" t="s">
        <v>25</v>
      </c>
      <c r="C35">
        <v>18</v>
      </c>
      <c r="D35">
        <f t="shared" si="0"/>
        <v>23</v>
      </c>
      <c r="E35">
        <v>5</v>
      </c>
      <c r="F35" s="1">
        <v>46023</v>
      </c>
    </row>
    <row r="36" spans="1:6" x14ac:dyDescent="0.25">
      <c r="A36" t="s">
        <v>21</v>
      </c>
      <c r="B36" t="s">
        <v>24</v>
      </c>
      <c r="C36">
        <v>23</v>
      </c>
      <c r="D36">
        <f t="shared" si="0"/>
        <v>40</v>
      </c>
      <c r="E36">
        <v>17</v>
      </c>
      <c r="F36" s="1">
        <v>46023</v>
      </c>
    </row>
    <row r="37" spans="1:6" x14ac:dyDescent="0.25">
      <c r="A37" t="s">
        <v>21</v>
      </c>
      <c r="B37" t="s">
        <v>27</v>
      </c>
      <c r="C37">
        <v>40</v>
      </c>
      <c r="D37">
        <f t="shared" si="0"/>
        <v>45</v>
      </c>
      <c r="E37">
        <v>5</v>
      </c>
      <c r="F37" s="1">
        <v>46023</v>
      </c>
    </row>
    <row r="38" spans="1:6" x14ac:dyDescent="0.25">
      <c r="A38" t="s">
        <v>21</v>
      </c>
      <c r="B38" t="s">
        <v>26</v>
      </c>
      <c r="C38">
        <v>42.5</v>
      </c>
      <c r="D38">
        <f t="shared" si="0"/>
        <v>44.5</v>
      </c>
      <c r="E38">
        <v>2</v>
      </c>
      <c r="F38" s="1">
        <v>46023</v>
      </c>
    </row>
    <row r="39" spans="1:6" x14ac:dyDescent="0.25">
      <c r="A39" t="s">
        <v>21</v>
      </c>
      <c r="B39" t="s">
        <v>15</v>
      </c>
      <c r="C39">
        <v>44.5</v>
      </c>
      <c r="D39">
        <f t="shared" si="0"/>
        <v>45</v>
      </c>
      <c r="E39">
        <v>0.5</v>
      </c>
      <c r="F39" s="1">
        <v>46023</v>
      </c>
    </row>
    <row r="40" spans="1:6" x14ac:dyDescent="0.25">
      <c r="A40" t="s">
        <v>21</v>
      </c>
      <c r="B40" t="s">
        <v>10</v>
      </c>
      <c r="C40">
        <v>45</v>
      </c>
      <c r="D40">
        <f t="shared" si="0"/>
        <v>69</v>
      </c>
      <c r="E40">
        <v>24</v>
      </c>
      <c r="F40" s="1">
        <v>46023</v>
      </c>
    </row>
    <row r="41" spans="1:6" x14ac:dyDescent="0.25">
      <c r="A41" t="s">
        <v>21</v>
      </c>
      <c r="B41" t="s">
        <v>16</v>
      </c>
      <c r="C41">
        <v>69</v>
      </c>
      <c r="D41">
        <f t="shared" si="0"/>
        <v>70</v>
      </c>
      <c r="E41">
        <v>1</v>
      </c>
      <c r="F41" s="1">
        <v>46023</v>
      </c>
    </row>
    <row r="42" spans="1:6" x14ac:dyDescent="0.25">
      <c r="A42" t="s">
        <v>21</v>
      </c>
      <c r="B42" t="s">
        <v>12</v>
      </c>
      <c r="C42">
        <v>70</v>
      </c>
      <c r="D42">
        <f t="shared" si="0"/>
        <v>70.332999999999998</v>
      </c>
      <c r="E42">
        <v>0.33300000000000002</v>
      </c>
      <c r="F42" s="1">
        <v>46023</v>
      </c>
    </row>
    <row r="43" spans="1:6" x14ac:dyDescent="0.25">
      <c r="A43" t="s">
        <v>29</v>
      </c>
      <c r="B43" t="s">
        <v>4</v>
      </c>
      <c r="C43">
        <v>1</v>
      </c>
      <c r="D43">
        <f>SUM(C43+E43)</f>
        <v>2</v>
      </c>
      <c r="E43">
        <v>1</v>
      </c>
      <c r="F43" s="1">
        <v>46023</v>
      </c>
    </row>
    <row r="44" spans="1:6" x14ac:dyDescent="0.25">
      <c r="A44" t="s">
        <v>29</v>
      </c>
      <c r="B44" t="s">
        <v>39</v>
      </c>
      <c r="C44">
        <v>2</v>
      </c>
      <c r="D44">
        <v>18</v>
      </c>
      <c r="E44">
        <v>16</v>
      </c>
      <c r="F44" s="1">
        <v>46023</v>
      </c>
    </row>
    <row r="45" spans="1:6" x14ac:dyDescent="0.25">
      <c r="A45" t="s">
        <v>29</v>
      </c>
      <c r="B45" t="s">
        <v>11</v>
      </c>
      <c r="C45">
        <v>2</v>
      </c>
      <c r="D45">
        <f>SUM(C45+E45)</f>
        <v>18</v>
      </c>
      <c r="E45">
        <v>16</v>
      </c>
      <c r="F45" s="1">
        <v>46023</v>
      </c>
    </row>
    <row r="46" spans="1:6" x14ac:dyDescent="0.25">
      <c r="A46" t="s">
        <v>29</v>
      </c>
      <c r="B46" t="s">
        <v>28</v>
      </c>
      <c r="C46">
        <v>1</v>
      </c>
      <c r="D46">
        <f>SUM(C46+E46)</f>
        <v>18</v>
      </c>
      <c r="E46">
        <v>17</v>
      </c>
      <c r="F46" s="1">
        <v>46023</v>
      </c>
    </row>
    <row r="47" spans="1:6" x14ac:dyDescent="0.25">
      <c r="A47" t="s">
        <v>29</v>
      </c>
      <c r="B47" t="s">
        <v>5</v>
      </c>
      <c r="C47">
        <v>18</v>
      </c>
      <c r="D47">
        <f>SUM(C47+E47)</f>
        <v>19</v>
      </c>
      <c r="E47">
        <v>1</v>
      </c>
      <c r="F47" s="1">
        <v>46023</v>
      </c>
    </row>
    <row r="48" spans="1:6" x14ac:dyDescent="0.25">
      <c r="A48" t="s">
        <v>29</v>
      </c>
      <c r="B48" t="s">
        <v>30</v>
      </c>
      <c r="C48">
        <v>23</v>
      </c>
      <c r="D48">
        <f t="shared" ref="D48:D59" si="1">SUM(C48+E48)</f>
        <v>39</v>
      </c>
      <c r="E48">
        <v>16</v>
      </c>
      <c r="F48" s="1">
        <v>46023</v>
      </c>
    </row>
    <row r="49" spans="1:6" x14ac:dyDescent="0.25">
      <c r="A49" t="s">
        <v>29</v>
      </c>
      <c r="B49" t="s">
        <v>31</v>
      </c>
      <c r="C49">
        <v>38.5</v>
      </c>
      <c r="D49">
        <f t="shared" si="1"/>
        <v>39</v>
      </c>
      <c r="E49">
        <v>0.5</v>
      </c>
      <c r="F49" s="1">
        <v>46023</v>
      </c>
    </row>
    <row r="50" spans="1:6" x14ac:dyDescent="0.25">
      <c r="A50" t="s">
        <v>29</v>
      </c>
      <c r="B50" t="s">
        <v>33</v>
      </c>
      <c r="C50">
        <v>39</v>
      </c>
      <c r="D50">
        <f t="shared" si="1"/>
        <v>39.167000000000002</v>
      </c>
      <c r="E50">
        <v>0.16700000000000001</v>
      </c>
      <c r="F50" s="1">
        <v>46023</v>
      </c>
    </row>
    <row r="51" spans="1:6" x14ac:dyDescent="0.25">
      <c r="A51" t="s">
        <v>29</v>
      </c>
      <c r="B51" t="s">
        <v>32</v>
      </c>
      <c r="C51">
        <f>D50</f>
        <v>39.167000000000002</v>
      </c>
      <c r="D51">
        <f t="shared" si="1"/>
        <v>44.167000000000002</v>
      </c>
      <c r="E51">
        <v>5</v>
      </c>
      <c r="F51" s="1">
        <v>46023</v>
      </c>
    </row>
    <row r="52" spans="1:6" x14ac:dyDescent="0.25">
      <c r="A52" t="s">
        <v>29</v>
      </c>
      <c r="B52" t="s">
        <v>35</v>
      </c>
      <c r="C52">
        <v>39</v>
      </c>
      <c r="D52">
        <f t="shared" si="1"/>
        <v>44</v>
      </c>
      <c r="E52">
        <v>5</v>
      </c>
      <c r="F52" s="1">
        <v>46023</v>
      </c>
    </row>
    <row r="53" spans="1:6" x14ac:dyDescent="0.25">
      <c r="A53" t="s">
        <v>29</v>
      </c>
      <c r="B53" t="s">
        <v>34</v>
      </c>
      <c r="C53">
        <f>D51</f>
        <v>44.167000000000002</v>
      </c>
      <c r="D53">
        <f t="shared" si="1"/>
        <v>44.334000000000003</v>
      </c>
      <c r="E53">
        <v>0.16700000000000001</v>
      </c>
      <c r="F53" s="1">
        <v>46023</v>
      </c>
    </row>
    <row r="54" spans="1:6" x14ac:dyDescent="0.25">
      <c r="A54" t="s">
        <v>29</v>
      </c>
      <c r="B54" t="s">
        <v>36</v>
      </c>
      <c r="C54">
        <f>D53</f>
        <v>44.334000000000003</v>
      </c>
      <c r="D54">
        <f t="shared" si="1"/>
        <v>44.501000000000005</v>
      </c>
      <c r="E54">
        <v>0.16700000000000001</v>
      </c>
      <c r="F54" s="1">
        <v>46023</v>
      </c>
    </row>
    <row r="55" spans="1:6" x14ac:dyDescent="0.25">
      <c r="A55" t="s">
        <v>29</v>
      </c>
      <c r="B55" t="s">
        <v>7</v>
      </c>
      <c r="C55">
        <f>D52</f>
        <v>44</v>
      </c>
      <c r="D55">
        <f t="shared" si="1"/>
        <v>44.5</v>
      </c>
      <c r="E55">
        <v>0.5</v>
      </c>
      <c r="F55" s="1">
        <v>46023</v>
      </c>
    </row>
    <row r="56" spans="1:6" x14ac:dyDescent="0.25">
      <c r="A56" t="s">
        <v>29</v>
      </c>
      <c r="B56" t="s">
        <v>37</v>
      </c>
      <c r="C56">
        <f>D55</f>
        <v>44.5</v>
      </c>
      <c r="D56">
        <f t="shared" si="1"/>
        <v>45</v>
      </c>
      <c r="E56">
        <v>0.5</v>
      </c>
      <c r="F56" s="1">
        <v>46023</v>
      </c>
    </row>
    <row r="57" spans="1:6" x14ac:dyDescent="0.25">
      <c r="A57" t="s">
        <v>29</v>
      </c>
      <c r="B57" t="s">
        <v>32</v>
      </c>
      <c r="C57">
        <f>D56</f>
        <v>45</v>
      </c>
      <c r="D57">
        <f t="shared" si="1"/>
        <v>61</v>
      </c>
      <c r="E57">
        <v>16</v>
      </c>
      <c r="F57" s="1">
        <v>46023</v>
      </c>
    </row>
    <row r="58" spans="1:6" x14ac:dyDescent="0.25">
      <c r="A58" t="s">
        <v>29</v>
      </c>
      <c r="B58" t="s">
        <v>38</v>
      </c>
      <c r="C58">
        <f>D57</f>
        <v>61</v>
      </c>
      <c r="D58">
        <f t="shared" si="1"/>
        <v>61.5</v>
      </c>
      <c r="E58">
        <v>0.5</v>
      </c>
      <c r="F58" s="1">
        <v>46023</v>
      </c>
    </row>
    <row r="59" spans="1:6" x14ac:dyDescent="0.25">
      <c r="A59" t="s">
        <v>29</v>
      </c>
      <c r="B59" t="s">
        <v>12</v>
      </c>
      <c r="C59">
        <f>D58</f>
        <v>61.5</v>
      </c>
      <c r="D59">
        <f t="shared" si="1"/>
        <v>61.832999999999998</v>
      </c>
      <c r="E59">
        <v>0.33300000000000002</v>
      </c>
      <c r="F59" s="1">
        <v>46023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8E27-B597-4400-A50C-551A6DBA3CD9}">
  <dimension ref="A1:D2"/>
  <sheetViews>
    <sheetView workbookViewId="0">
      <selection activeCell="D9" sqref="D9"/>
    </sheetView>
  </sheetViews>
  <sheetFormatPr defaultRowHeight="15" x14ac:dyDescent="0.25"/>
  <cols>
    <col min="1" max="1" width="22.7109375" customWidth="1"/>
    <col min="2" max="2" width="20.28515625" customWidth="1"/>
    <col min="3" max="3" width="26.28515625" customWidth="1"/>
    <col min="4" max="4" width="53" customWidth="1"/>
  </cols>
  <sheetData>
    <row r="1" spans="1:4" x14ac:dyDescent="0.25">
      <c r="A1" t="s">
        <v>1</v>
      </c>
      <c r="B1" t="s">
        <v>18</v>
      </c>
      <c r="C1" t="s">
        <v>19</v>
      </c>
    </row>
    <row r="2" spans="1:4" x14ac:dyDescent="0.25">
      <c r="D2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timings for gannt chart</vt:lpstr>
      <vt:lpstr>Sheet2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Fitch, Christian</dc:creator>
  <cp:lastModifiedBy>Fitch, Christian</cp:lastModifiedBy>
  <dcterms:created xsi:type="dcterms:W3CDTF">2026-08-12T09:21:56Z</dcterms:created>
  <dcterms:modified xsi:type="dcterms:W3CDTF">2026-08-12T11:33:38Z</dcterms:modified>
</cp:coreProperties>
</file>